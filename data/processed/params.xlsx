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Miriam Ucendo\Documents\UNI\5\practicas\OEH\OEH_SO\data\processed\"/>
    </mc:Choice>
  </mc:AlternateContent>
  <xr:revisionPtr revIDLastSave="0" documentId="13_ncr:1_{28CDA2D7-741B-4E53-A6C0-9DA0164EF5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 s="1"/>
  <c r="B23" i="1"/>
  <c r="B34" i="1"/>
  <c r="B32" i="1"/>
  <c r="B21" i="1"/>
  <c r="B20" i="1"/>
  <c r="B19" i="1"/>
  <c r="B17" i="1"/>
</calcChain>
</file>

<file path=xl/sharedStrings.xml><?xml version="1.0" encoding="utf-8"?>
<sst xmlns="http://schemas.openxmlformats.org/spreadsheetml/2006/main" count="59" uniqueCount="59">
  <si>
    <t>Name</t>
  </si>
  <si>
    <t>Value</t>
  </si>
  <si>
    <t>SOC_max</t>
  </si>
  <si>
    <t>SOC_min</t>
  </si>
  <si>
    <t>SOC_ini</t>
  </si>
  <si>
    <t>eta_c</t>
  </si>
  <si>
    <t>eta_d</t>
  </si>
  <si>
    <t>eta_ee</t>
  </si>
  <si>
    <t>eta_ge</t>
  </si>
  <si>
    <t>eta_gh</t>
  </si>
  <si>
    <t>eta_hc</t>
  </si>
  <si>
    <t>Chpmax</t>
  </si>
  <si>
    <t>CBmax</t>
  </si>
  <si>
    <t>Fmax</t>
  </si>
  <si>
    <t>eta_ghf</t>
  </si>
  <si>
    <t>E_min_c</t>
  </si>
  <si>
    <t>E_max_c</t>
  </si>
  <si>
    <t>E_min_d</t>
  </si>
  <si>
    <t>E_max_d</t>
  </si>
  <si>
    <t>COP</t>
  </si>
  <si>
    <t>C_EHP_min</t>
  </si>
  <si>
    <t>C_EHP_max</t>
  </si>
  <si>
    <t>H_EHP_min</t>
  </si>
  <si>
    <t>H_EHP_max</t>
  </si>
  <si>
    <t>eta_F</t>
  </si>
  <si>
    <t>el_max</t>
  </si>
  <si>
    <t>fc_max</t>
  </si>
  <si>
    <t>SOC_H2_ini</t>
  </si>
  <si>
    <t>SOC_H2_min</t>
  </si>
  <si>
    <t>SOC_H2_max</t>
  </si>
  <si>
    <t>eta_EL</t>
  </si>
  <si>
    <t>p_stb</t>
  </si>
  <si>
    <t>h_warmup</t>
  </si>
  <si>
    <t>el_min</t>
  </si>
  <si>
    <t>fc_min</t>
  </si>
  <si>
    <t>eta_H2</t>
  </si>
  <si>
    <t>alpha_DES</t>
  </si>
  <si>
    <t>(furnace)</t>
  </si>
  <si>
    <t>(CHP)</t>
  </si>
  <si>
    <t>ramp_up_el</t>
  </si>
  <si>
    <t>ramp_down_el</t>
  </si>
  <si>
    <t>( 45% el_max / h, Hassan et al. 2026 )</t>
  </si>
  <si>
    <t xml:space="preserve"> ( 45% el_max / h, Hassan et al. 2026 )</t>
  </si>
  <si>
    <t>( 30% el_max, Liao et al. 2026 / SOEC )</t>
  </si>
  <si>
    <t xml:space="preserve"> ( nominal capacity )</t>
  </si>
  <si>
    <t>( 5.5% el_max, Liao et al. 2026 )</t>
  </si>
  <si>
    <t>eta_com</t>
  </si>
  <si>
    <t>rho_com</t>
  </si>
  <si>
    <t>ramp_down_F</t>
  </si>
  <si>
    <t>ramp_up_F</t>
  </si>
  <si>
    <t>(capacity )</t>
  </si>
  <si>
    <t>( 0.07% el_max, Shi et al. 2025 )</t>
  </si>
  <si>
    <t>( 2.2 kWh/kg at 200 bar, Tian et al. 2024 / Shi et al. 2025 )</t>
  </si>
  <si>
    <t>( 85% compressor efficiency, Tian et al. 2023 / Shi et al. 2025 )</t>
  </si>
  <si>
    <t>( 70% fuel cell efficiency, Hassan et al. 2026 / Shi et al. 2025 )</t>
  </si>
  <si>
    <t>( 10% fc_max, Shi et al. 2025 / Hassan et al. 2026 )</t>
  </si>
  <si>
    <t>( nominal fuel cell capacity, 50% el_max )</t>
  </si>
  <si>
    <t xml:space="preserve"> ( 100% fc_max / h, Hassan et al. 2026 )</t>
  </si>
  <si>
    <t>( 100% fc_max / h, Hassan et al. 2026 )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</si>
</sst>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0" fontId="0" fillId="2" borderId="0" xfId="0" applyFill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0" fillId="0" borderId="0" xfId="0" applyFill="1"/>
  </cellXfs>
  <cellStyles count="6">
    <cellStyle name="Millares 2" xfId="4" xr:uid="{579E00ED-6BE0-4FD7-9C1F-1A0D60A42D05}"/>
    <cellStyle name="Millares 3" xfId="3" xr:uid="{FBD353A7-1C23-4B94-9A9D-3DBC60249C56}"/>
    <cellStyle name="Normal" xfId="0" builtinId="0"/>
    <cellStyle name="Normal 2" xfId="2" xr:uid="{F59740A3-6660-4118-A565-9D73678CB61F}"/>
    <cellStyle name="Normal 3" xfId="1" xr:uid="{EA8E32D3-3D22-4AA9-ABA8-C60E974A2CB0}"/>
    <cellStyle name="Normal 4" xfId="5" xr:uid="{145A973B-F9CE-40D2-8883-C1137D15AB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topLeftCell="A26" workbookViewId="0">
      <selection activeCell="J25" sqref="J25"/>
    </sheetView>
  </sheetViews>
  <sheetFormatPr baseColWidth="10" defaultColWidth="9.140625" defaultRowHeight="15" x14ac:dyDescent="0.25"/>
  <cols>
    <col min="1" max="1" width="14.285156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t="s">
        <v>7</v>
      </c>
      <c r="B2">
        <v>0.98</v>
      </c>
    </row>
    <row r="3" spans="1:3" x14ac:dyDescent="0.25">
      <c r="A3" t="s">
        <v>8</v>
      </c>
      <c r="B3">
        <v>0.45</v>
      </c>
    </row>
    <row r="4" spans="1:3" x14ac:dyDescent="0.25">
      <c r="A4" t="s">
        <v>9</v>
      </c>
      <c r="B4">
        <v>0.35</v>
      </c>
      <c r="C4" t="s">
        <v>38</v>
      </c>
    </row>
    <row r="5" spans="1:3" x14ac:dyDescent="0.25">
      <c r="A5" t="s">
        <v>14</v>
      </c>
      <c r="B5">
        <v>0.9</v>
      </c>
      <c r="C5" t="s">
        <v>37</v>
      </c>
    </row>
    <row r="6" spans="1:3" x14ac:dyDescent="0.25">
      <c r="A6" t="s">
        <v>10</v>
      </c>
      <c r="B6">
        <v>0.95</v>
      </c>
    </row>
    <row r="7" spans="1:3" x14ac:dyDescent="0.25">
      <c r="A7" s="5" t="s">
        <v>5</v>
      </c>
      <c r="B7">
        <v>0.99</v>
      </c>
    </row>
    <row r="8" spans="1:3" x14ac:dyDescent="0.25">
      <c r="A8" s="5" t="s">
        <v>6</v>
      </c>
      <c r="B8">
        <v>0.99</v>
      </c>
    </row>
    <row r="9" spans="1:3" x14ac:dyDescent="0.25">
      <c r="A9" s="5" t="s">
        <v>15</v>
      </c>
      <c r="B9" s="2">
        <v>1</v>
      </c>
    </row>
    <row r="10" spans="1:3" x14ac:dyDescent="0.25">
      <c r="A10" s="5" t="s">
        <v>16</v>
      </c>
      <c r="B10" s="2">
        <v>600</v>
      </c>
    </row>
    <row r="11" spans="1:3" x14ac:dyDescent="0.25">
      <c r="A11" s="5" t="s">
        <v>17</v>
      </c>
      <c r="B11" s="2">
        <v>1</v>
      </c>
    </row>
    <row r="12" spans="1:3" x14ac:dyDescent="0.25">
      <c r="A12" s="5" t="s">
        <v>18</v>
      </c>
      <c r="B12" s="2">
        <v>600</v>
      </c>
    </row>
    <row r="13" spans="1:3" x14ac:dyDescent="0.25">
      <c r="A13" s="5" t="s">
        <v>2</v>
      </c>
      <c r="B13" s="2">
        <v>1000</v>
      </c>
    </row>
    <row r="14" spans="1:3" x14ac:dyDescent="0.25">
      <c r="A14" s="5" t="s">
        <v>3</v>
      </c>
      <c r="B14" s="2">
        <v>120</v>
      </c>
    </row>
    <row r="15" spans="1:3" x14ac:dyDescent="0.25">
      <c r="A15" s="5" t="s">
        <v>4</v>
      </c>
      <c r="B15" s="2">
        <v>0</v>
      </c>
    </row>
    <row r="16" spans="1:3" x14ac:dyDescent="0.25">
      <c r="A16" t="s">
        <v>30</v>
      </c>
      <c r="B16" s="4">
        <v>0.8</v>
      </c>
    </row>
    <row r="17" spans="1:3" x14ac:dyDescent="0.25">
      <c r="A17" t="s">
        <v>33</v>
      </c>
      <c r="B17">
        <f>0.3*B18</f>
        <v>30</v>
      </c>
      <c r="C17" t="s">
        <v>43</v>
      </c>
    </row>
    <row r="18" spans="1:3" x14ac:dyDescent="0.25">
      <c r="A18" s="6" t="s">
        <v>25</v>
      </c>
      <c r="B18" s="7">
        <v>100</v>
      </c>
      <c r="C18" s="8" t="s">
        <v>44</v>
      </c>
    </row>
    <row r="19" spans="1:3" x14ac:dyDescent="0.25">
      <c r="A19" t="s">
        <v>31</v>
      </c>
      <c r="B19">
        <f>0.055*B18</f>
        <v>5.5</v>
      </c>
      <c r="C19" t="s">
        <v>45</v>
      </c>
    </row>
    <row r="20" spans="1:3" x14ac:dyDescent="0.25">
      <c r="A20" t="s">
        <v>39</v>
      </c>
      <c r="B20">
        <f>0.45*B18</f>
        <v>45</v>
      </c>
      <c r="C20" t="s">
        <v>41</v>
      </c>
    </row>
    <row r="21" spans="1:3" x14ac:dyDescent="0.25">
      <c r="A21" t="s">
        <v>40</v>
      </c>
      <c r="B21">
        <f>0.45*B18</f>
        <v>45</v>
      </c>
      <c r="C21" t="s">
        <v>42</v>
      </c>
    </row>
    <row r="22" spans="1:3" x14ac:dyDescent="0.25">
      <c r="A22" t="s">
        <v>32</v>
      </c>
      <c r="B22">
        <v>8</v>
      </c>
    </row>
    <row r="23" spans="1:3" x14ac:dyDescent="0.25">
      <c r="A23" s="5" t="s">
        <v>36</v>
      </c>
      <c r="B23">
        <f>0.0007*B18</f>
        <v>6.9999999999999993E-2</v>
      </c>
      <c r="C23" t="s">
        <v>51</v>
      </c>
    </row>
    <row r="24" spans="1:3" x14ac:dyDescent="0.25">
      <c r="A24" s="5" t="s">
        <v>46</v>
      </c>
      <c r="B24">
        <v>0.85</v>
      </c>
      <c r="C24" t="s">
        <v>53</v>
      </c>
    </row>
    <row r="25" spans="1:3" x14ac:dyDescent="0.25">
      <c r="A25" s="5" t="s">
        <v>47</v>
      </c>
      <c r="B25">
        <v>2.2000000000000001E-3</v>
      </c>
      <c r="C25" t="s">
        <v>52</v>
      </c>
    </row>
    <row r="26" spans="1:3" x14ac:dyDescent="0.25">
      <c r="A26" s="8" t="s">
        <v>24</v>
      </c>
      <c r="B26">
        <v>0.7</v>
      </c>
      <c r="C26" t="s">
        <v>54</v>
      </c>
    </row>
    <row r="27" spans="1:3" x14ac:dyDescent="0.25">
      <c r="A27" s="8" t="s">
        <v>34</v>
      </c>
      <c r="B27">
        <f>0.1*B28</f>
        <v>5</v>
      </c>
      <c r="C27" t="s">
        <v>55</v>
      </c>
    </row>
    <row r="28" spans="1:3" x14ac:dyDescent="0.25">
      <c r="A28" s="8" t="s">
        <v>26</v>
      </c>
      <c r="B28">
        <f>0.5*B18</f>
        <v>50</v>
      </c>
      <c r="C28" t="s">
        <v>56</v>
      </c>
    </row>
    <row r="29" spans="1:3" x14ac:dyDescent="0.25">
      <c r="A29" s="8" t="s">
        <v>49</v>
      </c>
      <c r="B29">
        <f>B28</f>
        <v>50</v>
      </c>
      <c r="C29" t="s">
        <v>57</v>
      </c>
    </row>
    <row r="30" spans="1:3" x14ac:dyDescent="0.25">
      <c r="A30" s="8" t="s">
        <v>48</v>
      </c>
      <c r="B30">
        <f>B28</f>
        <v>50</v>
      </c>
      <c r="C30" t="s">
        <v>58</v>
      </c>
    </row>
    <row r="31" spans="1:3" x14ac:dyDescent="0.25">
      <c r="A31" s="5" t="s">
        <v>35</v>
      </c>
      <c r="B31">
        <v>0.98</v>
      </c>
    </row>
    <row r="32" spans="1:3" x14ac:dyDescent="0.25">
      <c r="A32" s="5" t="s">
        <v>28</v>
      </c>
      <c r="B32">
        <f>0.01*B33</f>
        <v>5</v>
      </c>
    </row>
    <row r="33" spans="1:3" x14ac:dyDescent="0.25">
      <c r="A33" s="5" t="s">
        <v>29</v>
      </c>
      <c r="B33">
        <v>500</v>
      </c>
      <c r="C33" t="s">
        <v>50</v>
      </c>
    </row>
    <row r="34" spans="1:3" x14ac:dyDescent="0.25">
      <c r="A34" s="5" t="s">
        <v>27</v>
      </c>
      <c r="B34">
        <f>0.01*B33</f>
        <v>5</v>
      </c>
    </row>
    <row r="35" spans="1:3" x14ac:dyDescent="0.25">
      <c r="A35" t="s">
        <v>11</v>
      </c>
      <c r="B35" s="2">
        <v>250</v>
      </c>
    </row>
    <row r="36" spans="1:3" x14ac:dyDescent="0.25">
      <c r="A36" t="s">
        <v>12</v>
      </c>
      <c r="B36" s="2">
        <v>500</v>
      </c>
    </row>
    <row r="37" spans="1:3" x14ac:dyDescent="0.25">
      <c r="A37" t="s">
        <v>13</v>
      </c>
      <c r="B37" s="2">
        <v>600</v>
      </c>
    </row>
    <row r="38" spans="1:3" x14ac:dyDescent="0.25">
      <c r="A38" s="5" t="s">
        <v>19</v>
      </c>
      <c r="B38" s="3">
        <v>2.5</v>
      </c>
    </row>
    <row r="39" spans="1:3" x14ac:dyDescent="0.25">
      <c r="A39" s="5" t="s">
        <v>20</v>
      </c>
      <c r="B39" s="4">
        <v>0.01</v>
      </c>
    </row>
    <row r="40" spans="1:3" x14ac:dyDescent="0.25">
      <c r="A40" s="5" t="s">
        <v>21</v>
      </c>
      <c r="B40" s="2">
        <v>500</v>
      </c>
    </row>
    <row r="41" spans="1:3" x14ac:dyDescent="0.25">
      <c r="A41" s="5" t="s">
        <v>22</v>
      </c>
      <c r="B41">
        <v>0.01</v>
      </c>
    </row>
    <row r="42" spans="1:3" x14ac:dyDescent="0.25">
      <c r="A42" s="5" t="s">
        <v>23</v>
      </c>
      <c r="B42">
        <v>500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Miriam_Ucendo</dc:creator>
  <cp:lastModifiedBy>Miriam Ucendo Somolinos</cp:lastModifiedBy>
  <dcterms:created xsi:type="dcterms:W3CDTF">2015-06-05T18:19:34Z</dcterms:created>
  <dcterms:modified xsi:type="dcterms:W3CDTF">2026-09-28T11:05:40Z</dcterms:modified>
</cp:coreProperties>
</file>